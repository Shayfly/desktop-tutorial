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s" sheetId="1" state="visible" r:id="rId3"/>
    <sheet name="Assumptions" sheetId="2" state="visible" r:id="rId4"/>
    <sheet name="Open item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Free </t>
        </r>
        <r>
          <rPr>
            <sz val="10"/>
            <rFont val="FreeSans"/>
            <family val="2"/>
          </rPr>
          <t xml:space="preserve">פטור מרצפת המרווח </t>
        </r>
        <r>
          <rPr>
            <sz val="10"/>
            <rFont val="Arial"/>
            <family val="2"/>
          </rPr>
          <t xml:space="preserve">(CEO 2026-10-19 02:22) → </t>
        </r>
        <r>
          <rPr>
            <sz val="10"/>
            <rFont val="FreeSans"/>
            <family val="2"/>
          </rPr>
          <t xml:space="preserve">תקרת </t>
        </r>
        <r>
          <rPr>
            <sz val="10"/>
            <rFont val="Arial"/>
            <family val="2"/>
          </rPr>
          <t xml:space="preserve">LIGHT $0.35 </t>
        </r>
        <r>
          <rPr>
            <sz val="10"/>
            <rFont val="FreeSans"/>
            <family val="2"/>
          </rPr>
          <t xml:space="preserve">לבנייה; תקרה חודשית </t>
        </r>
        <r>
          <rPr>
            <sz val="10"/>
            <rFont val="Arial"/>
            <family val="2"/>
          </rPr>
          <t xml:space="preserve">$1.05 = 3 × $0.35.</t>
        </r>
      </text>
    </comment>
    <comment ref="K6" authorId="0">
      <text>
        <r>
          <rPr>
            <sz val="10"/>
            <rFont val="FreeSans"/>
            <family val="2"/>
          </rPr>
          <t xml:space="preserve">יעד מרווח במקרה הגרוע — הכרעת </t>
        </r>
        <r>
          <rPr>
            <sz val="10"/>
            <rFont val="Arial"/>
            <family val="2"/>
          </rPr>
          <t xml:space="preserve">CEO 2026-10-19 02:16.</t>
        </r>
      </text>
    </comment>
    <comment ref="O5" authorId="0">
      <text>
        <r>
          <rPr>
            <sz val="10"/>
            <rFont val="FreeSans"/>
            <family val="2"/>
          </rPr>
          <t xml:space="preserve">נמדד בטסט </t>
        </r>
        <r>
          <rPr>
            <sz val="10"/>
            <rFont val="Arial"/>
            <family val="2"/>
          </rPr>
          <t xml:space="preserve">tests/test_m5_plan_build_class.py: gateway </t>
        </r>
        <r>
          <rPr>
            <sz val="10"/>
            <rFont val="FreeSans"/>
            <family val="2"/>
          </rPr>
          <t xml:space="preserve">אמיתי </t>
        </r>
        <r>
          <rPr>
            <sz val="10"/>
            <rFont val="Arial"/>
            <family val="2"/>
          </rPr>
          <t xml:space="preserve">+ infra/worker-host/model-catalog.json, </t>
        </r>
        <r>
          <rPr>
            <sz val="10"/>
            <rFont val="FreeSans"/>
            <family val="2"/>
          </rPr>
          <t xml:space="preserve">משימת </t>
        </r>
        <r>
          <rPr>
            <sz val="10"/>
            <rFont val="Arial"/>
            <family val="2"/>
          </rPr>
          <t xml:space="preserve">codegen (6,000 </t>
        </r>
        <r>
          <rPr>
            <sz val="10"/>
            <rFont val="FreeSans"/>
            <family val="2"/>
          </rPr>
          <t xml:space="preserve">תווים</t>
        </r>
        <r>
          <rPr>
            <sz val="10"/>
            <rFont val="Arial"/>
            <family val="2"/>
          </rPr>
          <t xml:space="preserve">, max_tokens 8,000).</t>
        </r>
      </text>
    </comment>
    <comment ref="P5" authorId="0">
      <text>
        <r>
          <rPr>
            <sz val="10"/>
            <rFont val="Arial"/>
            <family val="2"/>
          </rPr>
          <t xml:space="preserve">OMNI_PROVIDER_CAP_FREE_USD (</t>
        </r>
        <r>
          <rPr>
            <sz val="10"/>
            <rFont val="FreeSans"/>
            <family val="2"/>
          </rPr>
          <t xml:space="preserve">ברירת מחדל </t>
        </r>
        <r>
          <rPr>
            <sz val="10"/>
            <rFont val="Arial"/>
            <family val="2"/>
          </rPr>
          <t xml:space="preserve">1.05). Amateur/Pro/Studio: </t>
        </r>
        <r>
          <rPr>
            <sz val="10"/>
            <rFont val="FreeSans"/>
            <family val="2"/>
          </rPr>
          <t xml:space="preserve">תקרות קיימות שלא שונו (לא הוכרעו)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<sst xmlns="http://schemas.openxmlformats.org/spreadsheetml/2006/main" count="116" uniqueCount="92">
  <si>
    <t xml:space="preserve">כלכלת בנייה לפי tier — מקרה גרוע (כל תקרת המודלים מנוצלת)</t>
  </si>
  <si>
    <t xml:space="preserve">מימוש: PR #59 @ f8006fe (CI ירוק). ערכים בכחול = קלט; שחור = נוסחה. עודכן 2026-10-19 09:0x.</t>
  </si>
  <si>
    <t xml:space="preserve">תוכנית</t>
  </si>
  <si>
    <t xml:space="preserve">class</t>
  </si>
  <si>
    <t xml:space="preserve">מחיר חודשי ($)</t>
  </si>
  <si>
    <t xml:space="preserve">קרדיטים לתוכנית</t>
  </si>
  <si>
    <t xml:space="preserve">קרדיטים לבנייה</t>
  </si>
  <si>
    <t xml:space="preserve">תקרת class ($)</t>
  </si>
  <si>
    <t xml:space="preserve">הכנסה לבנייה ($)</t>
  </si>
  <si>
    <t xml:space="preserve">פטור מרצפה?</t>
  </si>
  <si>
    <t xml:space="preserve">תקציב מודלים בפועל ($)</t>
  </si>
  <si>
    <t xml:space="preserve">מרווח במקרה הגרוע</t>
  </si>
  <si>
    <t xml:space="preserve">יעד מרווח</t>
  </si>
  <si>
    <t xml:space="preserve">עומד ביעד?</t>
  </si>
  <si>
    <t xml:space="preserve">בנייות בחודש</t>
  </si>
  <si>
    <t xml:space="preserve">מודלים מותרים (catalog נוכחי)</t>
  </si>
  <si>
    <t xml:space="preserve">קריאת codegen ראשונה ($)</t>
  </si>
  <si>
    <t xml:space="preserve">תקרה חודשית לספקים ($)</t>
  </si>
  <si>
    <t xml:space="preserve">מס׳ מודלים</t>
  </si>
  <si>
    <t xml:space="preserve">Free</t>
  </si>
  <si>
    <t xml:space="preserve">LIGHT</t>
  </si>
  <si>
    <t xml:space="preserve">כן</t>
  </si>
  <si>
    <t xml:space="preserve">—</t>
  </si>
  <si>
    <t xml:space="preserve">gemini-3-1-flash-lite, openai-gpt-6-luna</t>
  </si>
  <si>
    <t xml:space="preserve">Amateur</t>
  </si>
  <si>
    <t xml:space="preserve">לא</t>
  </si>
  <si>
    <t xml:space="preserve">Pro</t>
  </si>
  <si>
    <t xml:space="preserve">STANDARD</t>
  </si>
  <si>
    <t xml:space="preserve">gemini-3-1-flash-lite, gemini-3-5-flash-lite, gemini-3-8-flash, openai-gpt-6-luna</t>
  </si>
  <si>
    <t xml:space="preserve">Studio</t>
  </si>
  <si>
    <t xml:space="preserve">HEAVY</t>
  </si>
  <si>
    <t xml:space="preserve">כל 6: + openai-gpt-6-1-sol, anthropic-claude-sonnet-5-5</t>
  </si>
  <si>
    <t xml:space="preserve">Enterprise</t>
  </si>
  <si>
    <t xml:space="preserve">EXTREME</t>
  </si>
  <si>
    <t xml:space="preserve">חוזה</t>
  </si>
  <si>
    <t xml:space="preserve">כל 6 המודלים</t>
  </si>
  <si>
    <t xml:space="preserve">הערות</t>
  </si>
  <si>
    <t xml:space="preserve">תקציב בפועל = מינימום(תקרת class, הכנסה לבנייה × (1 − רצפה)); Enterprise פטור → תקרה; ללא הכנסה → $0.</t>
  </si>
  <si>
    <t xml:space="preserve">ההבדל בעלות הקריאה הראשונה: ל-Pro/Studio יש מודל באיכות 85 (gemini-3.8-flash) שמועדף ל-codegen; ל-Amateur רק מודלים באיכות 70.</t>
  </si>
  <si>
    <t xml:space="preserve">Pro ו-Studio נבדלים גם ב-allowlist: Pro עד $5/1M output (4 מודלים), Studio ללא תקרה (6). טסט: test_pro_and_studio_get_different_allowlists.</t>
  </si>
  <si>
    <t xml:space="preserve">ב-worker: תקציב ה-class הוא הקובע; env נמוך יותר → WORKER_BUDGET_BELOW_CLASS (התרעה, לא חסימה). ה-secret עודכן ל-$18.</t>
  </si>
  <si>
    <t xml:space="preserve">מרווח כאן = מרווח משתנה לבנייה. לא כולל עמלות Stripe ועלויות קבועות.</t>
  </si>
  <si>
    <t xml:space="preserve">מקור: הכרעת CEO בצ'אט, 2026-10-19 02:05–02:16 (docs/DECISIONS_LOG.md, הכרעות 19–28)</t>
  </si>
  <si>
    <t xml:space="preserve">הנחות וקלטים (טקסט כחול = קלט שניתן לשנות)</t>
  </si>
  <si>
    <t xml:space="preserve">רצפת מרווח לבנייה</t>
  </si>
  <si>
    <t xml:space="preserve">קוד: investor_app._m5_build_economics_quote — אסור להוריד (הכרעה 26)</t>
  </si>
  <si>
    <t xml:space="preserve">תקרת תקציב מודלים לבנייה ($)</t>
  </si>
  <si>
    <t xml:space="preserve">מחיר output מקסימלי למודל ($/1M)</t>
  </si>
  <si>
    <t xml:space="preserve">משתנה env</t>
  </si>
  <si>
    <t xml:space="preserve">ZERO</t>
  </si>
  <si>
    <t xml:space="preserve">OMNI_BUILD_LLM_CAP_ZERO_USD</t>
  </si>
  <si>
    <t xml:space="preserve">OMNI_BUILD_LLM_CAP_LIGHT_USD</t>
  </si>
  <si>
    <t xml:space="preserve">OMNI_BUILD_LLM_CAP_STANDARD_USD</t>
  </si>
  <si>
    <t xml:space="preserve">ADVANCED</t>
  </si>
  <si>
    <t xml:space="preserve">OMNI_BUILD_LLM_CAP_ADVANCED_USD</t>
  </si>
  <si>
    <t xml:space="preserve">ללא תקרה</t>
  </si>
  <si>
    <t xml:space="preserve">OMNI_BUILD_LLM_CAP_HEAVY_USD</t>
  </si>
  <si>
    <t xml:space="preserve">OMNI_BUILD_LLM_CAP_EXTREME_USD</t>
  </si>
  <si>
    <t xml:space="preserve">ספי allowlist (מחיר output מקסימלי למודל): הכרעת CEO 2026-10-19 02:22 — LIGHT ≤ $1.50 · STANDARD ≤ $5 · ADVANCED ≤ $8 · HEAVY/EXTREME ללא תקרה.</t>
  </si>
  <si>
    <t xml:space="preserve">soft cap: בנייה לא נדחית בגלל התקרה; חריגה נרשמת, ומעל פי 2 — התרעה LLM_SPEND_ALERT בלוג.</t>
  </si>
  <si>
    <t xml:space="preserve">#</t>
  </si>
  <si>
    <t xml:space="preserve">נושא</t>
  </si>
  <si>
    <t xml:space="preserve">מה קורה היום</t>
  </si>
  <si>
    <t xml:space="preserve">מה נדרש</t>
  </si>
  <si>
    <t xml:space="preserve">מי</t>
  </si>
  <si>
    <t xml:space="preserve">Free — תקציב מודלים</t>
  </si>
  <si>
    <t xml:space="preserve">נפתר: Free פטור מהרצפה, תקרת LIGHT $0.35, $1.05 לחודש (הכרעה 29)</t>
  </si>
  <si>
    <t xml:space="preserve">תקציב ה-worker</t>
  </si>
  <si>
    <t xml:space="preserve">נפתר בקוד: bind_budget — תקציב ה-class קובע (הכרעה 30); ה-secret עודכן ל-$18</t>
  </si>
  <si>
    <t xml:space="preserve">ייכנס לתוקף רק אחרי deploy-worker (שורה 7)</t>
  </si>
  <si>
    <t xml:space="preserve">Pro ו-Studio זהים ב-allowlist</t>
  </si>
  <si>
    <t xml:space="preserve">נפתר: STANDARD ≤ $5 → Pro 4 מודלים, Studio 6 (הכרעה 31)</t>
  </si>
  <si>
    <t xml:space="preserve">approvals ישנים</t>
  </si>
  <si>
    <t xml:space="preserve">ה-budget fingerprint כולל את קרדיטי ה-class</t>
  </si>
  <si>
    <t xml:space="preserve">לקוח עם approval מלפני הפריסה יתבקש לאשר מחדש</t>
  </si>
  <si>
    <t xml:space="preserve">staging worker = DB של Production</t>
  </si>
  <si>
    <t xml:space="preserve">db-identity (run 39207340501): host ep-floral-bread-b1weu1th-pooler, neondb — אותו Neon endpoint כמו Production</t>
  </si>
  <si>
    <t xml:space="preserve">להחליט: להפריד DB ל-staging, או לקבל שה-worker כותב ל-Production</t>
  </si>
  <si>
    <t xml:space="preserve">CEO</t>
  </si>
  <si>
    <t xml:space="preserve">db_fingerprint לא מזהה את אותו DB</t>
  </si>
  <si>
    <t xml:space="preserve">pooler מול חיבור ישיר נותנים fingerprint שונה (d2eb0b8c775f מול 5fabb3bf756d)</t>
  </si>
  <si>
    <t xml:space="preserve">לנרמל את ה-host (להסיר -pooler) ב-schema_manifest.db_fingerprint</t>
  </si>
  <si>
    <t xml:space="preserve">omni_prod</t>
  </si>
  <si>
    <t xml:space="preserve">deploy-worker חסום</t>
  </si>
  <si>
    <t xml:space="preserve">pre-staging מכיר מיגרציות עד 037, ה-DB ב-041 → migrate נכשל אחרי drain; אין input accept_newer בענף</t>
  </si>
  <si>
    <t xml:space="preserve">לבחור: deploy מ-main / להעביר accept-newer ל-pre-staging / restart בלבד</t>
  </si>
  <si>
    <t xml:space="preserve">תקרה חודשית לספקים מגבילה לפני הקרדיטים</t>
  </si>
  <si>
    <t xml:space="preserve">במקרה הגרוע (כל בנייה מנצלת את תקרת ה-class): Amateur ⌊2.50/0.35⌋=7, Pro ⌊10/1.60⌋=6, Studio ⌊25/5.50⌋=4 בנייות בחודש — מול 22/22/20 לפי קרדיטים. אחרי settle נספרת רק העלות בפועל, כך שבשימוש רגיל המספר גבוה יותר</t>
  </si>
  <si>
    <t xml:space="preserve">להחליט על תקרות חודשיות (paid_provider_budget_usd) שתואמות לקרדיטים, למשל 22×0.35≈$7.7 · 22×1.60≈$35 · 20×5.50=$110 — ולבדוק מול המרווח</t>
  </si>
  <si>
    <t xml:space="preserve">.env חסר על ה-host של ה-worker</t>
  </si>
  <si>
    <t xml:space="preserve">לא קיים בתיקיית ה-compose; ה-stack רץ מה-env של הקונטיינר</t>
  </si>
  <si>
    <t xml:space="preserve">restart ידני ייכשל עד deploy חדש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</si>
</sst>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\$#,##0.00"/>
    <numFmt numFmtId="168" formatCode="\$#,##0.000"/>
    <numFmt numFmtId="169" formatCode="0.0%"/>
    <numFmt numFmtId="170" formatCode="0%"/>
    <numFmt numFmtId="171" formatCode="\$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0"/>
      <name val="FreeSans"/>
      <family val="2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52"/>
    <col collapsed="false" customWidth="true" hidden="false" outlineLevel="0" max="16" min="15" style="0" width="14"/>
    <col collapsed="false" customWidth="true" hidden="false" outlineLevel="0" max="17" min="17" style="0" width="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5" hidden="false" customHeight="false" outlineLevel="0" collapsed="false">
      <c r="A5" s="4" t="s">
        <v>19</v>
      </c>
      <c r="B5" s="5" t="s">
        <v>20</v>
      </c>
      <c r="C5" s="6" t="n">
        <v>0</v>
      </c>
      <c r="D5" s="7" t="n">
        <v>150</v>
      </c>
      <c r="E5" s="8" t="n">
        <f aca="false">INDEX(Assumptions!$B$6:$B$11,MATCH(B5,Assumptions!$A$6:$A$11,0))</f>
        <v>45</v>
      </c>
      <c r="F5" s="9" t="n">
        <f aca="false">INDEX(Assumptions!$C$6:$C$11,MATCH(B5,Assumptions!$A$6:$A$11,0))</f>
        <v>0.35</v>
      </c>
      <c r="G5" s="10" t="str">
        <f aca="false">IF(AND(ISNUMBER(C5),C5&gt;0,D5&gt;0),C5*E5/D5,"—")</f>
        <v>—</v>
      </c>
      <c r="H5" s="5" t="s">
        <v>21</v>
      </c>
      <c r="I5" s="9" t="n">
        <f aca="false">IF(H5="כן",F5,IF(ISNUMBER(G5),MAX(0,MIN(F5,G5*(1-Assumptions!$B$3))),0))</f>
        <v>0.35</v>
      </c>
      <c r="J5" s="11" t="str">
        <f aca="false">IF(ISNUMBER(G5),(G5-I5)/G5,"—")</f>
        <v>—</v>
      </c>
      <c r="K5" s="12" t="s">
        <v>22</v>
      </c>
      <c r="L5" s="13" t="str">
        <f aca="false">IF(AND(ISNUMBER(J5),ISNUMBER(K5)),IF(J5&gt;=K5,"✓","✗"),"—")</f>
        <v>—</v>
      </c>
      <c r="M5" s="13" t="n">
        <f aca="false">IF(D5&gt;0,INT(D5/E5),"ללא הגבלה")</f>
        <v>3</v>
      </c>
      <c r="N5" s="13" t="s">
        <v>23</v>
      </c>
      <c r="O5" s="14" t="n">
        <v>0.004609</v>
      </c>
      <c r="P5" s="15" t="n">
        <v>1.05</v>
      </c>
      <c r="Q5" s="5" t="n">
        <v>2</v>
      </c>
    </row>
    <row r="6" customFormat="false" ht="15" hidden="false" customHeight="false" outlineLevel="0" collapsed="false">
      <c r="A6" s="4" t="s">
        <v>24</v>
      </c>
      <c r="B6" s="5" t="s">
        <v>20</v>
      </c>
      <c r="C6" s="6" t="n">
        <v>29</v>
      </c>
      <c r="D6" s="7" t="n">
        <v>1000</v>
      </c>
      <c r="E6" s="8" t="n">
        <f aca="false">INDEX(Assumptions!$B$6:$B$11,MATCH(B6,Assumptions!$A$6:$A$11,0))</f>
        <v>45</v>
      </c>
      <c r="F6" s="9" t="n">
        <f aca="false">INDEX(Assumptions!$C$6:$C$11,MATCH(B6,Assumptions!$A$6:$A$11,0))</f>
        <v>0.35</v>
      </c>
      <c r="G6" s="10" t="n">
        <f aca="false">IF(AND(ISNUMBER(C6),C6&gt;0,D6&gt;0),C6*E6/D6,"—")</f>
        <v>1.305</v>
      </c>
      <c r="H6" s="5" t="s">
        <v>25</v>
      </c>
      <c r="I6" s="9" t="n">
        <f aca="false">IF(H6="כן",F6,IF(ISNUMBER(G6),MAX(0,MIN(F6,G6*(1-Assumptions!$B$3))),0))</f>
        <v>0.35</v>
      </c>
      <c r="J6" s="11" t="n">
        <f aca="false">IF(ISNUMBER(G6),(G6-I6)/G6,"—")</f>
        <v>0.731800766283525</v>
      </c>
      <c r="K6" s="12" t="n">
        <v>0.72</v>
      </c>
      <c r="L6" s="13" t="str">
        <f aca="false">IF(AND(ISNUMBER(J6),ISNUMBER(K6)),IF(J6&gt;=K6,"✓","✗"),"—")</f>
        <v>✓</v>
      </c>
      <c r="M6" s="13" t="n">
        <f aca="false">IF(D6&gt;0,INT(D6/E6),"ללא הגבלה")</f>
        <v>22</v>
      </c>
      <c r="N6" s="13" t="s">
        <v>23</v>
      </c>
      <c r="O6" s="14" t="n">
        <v>0.004609</v>
      </c>
      <c r="P6" s="15" t="n">
        <v>2.5</v>
      </c>
      <c r="Q6" s="5" t="n">
        <v>2</v>
      </c>
    </row>
    <row r="7" customFormat="false" ht="15" hidden="false" customHeight="false" outlineLevel="0" collapsed="false">
      <c r="A7" s="4" t="s">
        <v>26</v>
      </c>
      <c r="B7" s="5" t="s">
        <v>27</v>
      </c>
      <c r="C7" s="6" t="n">
        <v>99</v>
      </c>
      <c r="D7" s="7" t="n">
        <v>4500</v>
      </c>
      <c r="E7" s="8" t="n">
        <f aca="false">INDEX(Assumptions!$B$6:$B$11,MATCH(B7,Assumptions!$A$6:$A$11,0))</f>
        <v>200</v>
      </c>
      <c r="F7" s="9" t="n">
        <f aca="false">INDEX(Assumptions!$C$6:$C$11,MATCH(B7,Assumptions!$A$6:$A$11,0))</f>
        <v>1.6</v>
      </c>
      <c r="G7" s="10" t="n">
        <f aca="false">IF(AND(ISNUMBER(C7),C7&gt;0,D7&gt;0),C7*E7/D7,"—")</f>
        <v>4.4</v>
      </c>
      <c r="H7" s="5" t="s">
        <v>25</v>
      </c>
      <c r="I7" s="9" t="n">
        <f aca="false">IF(H7="כן",F7,IF(ISNUMBER(G7),MAX(0,MIN(F7,G7*(1-Assumptions!$B$3))),0))</f>
        <v>1.6</v>
      </c>
      <c r="J7" s="11" t="n">
        <f aca="false">IF(ISNUMBER(G7),(G7-I7)/G7,"—")</f>
        <v>0.636363636363636</v>
      </c>
      <c r="K7" s="12" t="n">
        <v>0.63</v>
      </c>
      <c r="L7" s="13" t="str">
        <f aca="false">IF(AND(ISNUMBER(J7),ISNUMBER(K7)),IF(J7&gt;=K7,"✓","✗"),"—")</f>
        <v>✓</v>
      </c>
      <c r="M7" s="13" t="n">
        <f aca="false">IF(D7&gt;0,INT(D7/E7),"ללא הגבלה")</f>
        <v>22</v>
      </c>
      <c r="N7" s="13" t="s">
        <v>28</v>
      </c>
      <c r="O7" s="14" t="n">
        <v>0.0345675</v>
      </c>
      <c r="P7" s="15" t="n">
        <v>10</v>
      </c>
      <c r="Q7" s="5" t="n">
        <v>4</v>
      </c>
    </row>
    <row r="8" customFormat="false" ht="15" hidden="false" customHeight="false" outlineLevel="0" collapsed="false">
      <c r="A8" s="4" t="s">
        <v>29</v>
      </c>
      <c r="B8" s="5" t="s">
        <v>30</v>
      </c>
      <c r="C8" s="6" t="n">
        <v>299</v>
      </c>
      <c r="D8" s="7" t="n">
        <v>10000</v>
      </c>
      <c r="E8" s="8" t="n">
        <f aca="false">INDEX(Assumptions!$B$6:$B$11,MATCH(B8,Assumptions!$A$6:$A$11,0))</f>
        <v>500</v>
      </c>
      <c r="F8" s="9" t="n">
        <f aca="false">INDEX(Assumptions!$C$6:$C$11,MATCH(B8,Assumptions!$A$6:$A$11,0))</f>
        <v>5.5</v>
      </c>
      <c r="G8" s="10" t="n">
        <f aca="false">IF(AND(ISNUMBER(C8),C8&gt;0,D8&gt;0),C8*E8/D8,"—")</f>
        <v>14.95</v>
      </c>
      <c r="H8" s="5" t="s">
        <v>25</v>
      </c>
      <c r="I8" s="9" t="n">
        <f aca="false">IF(H8="כן",F8,IF(ISNUMBER(G8),MAX(0,MIN(F8,G8*(1-Assumptions!$B$3))),0))</f>
        <v>5.5</v>
      </c>
      <c r="J8" s="11" t="n">
        <f aca="false">IF(ISNUMBER(G8),(G8-I8)/G8,"—")</f>
        <v>0.632107023411371</v>
      </c>
      <c r="K8" s="12" t="n">
        <v>0.62</v>
      </c>
      <c r="L8" s="13" t="str">
        <f aca="false">IF(AND(ISNUMBER(J8),ISNUMBER(K8)),IF(J8&gt;=K8,"✓","✗"),"—")</f>
        <v>✓</v>
      </c>
      <c r="M8" s="13" t="n">
        <f aca="false">IF(D8&gt;0,INT(D8/E8),"ללא הגבלה")</f>
        <v>20</v>
      </c>
      <c r="N8" s="13" t="s">
        <v>31</v>
      </c>
      <c r="O8" s="14" t="n">
        <v>0.0345675</v>
      </c>
      <c r="P8" s="15" t="n">
        <v>25</v>
      </c>
      <c r="Q8" s="5" t="n">
        <v>6</v>
      </c>
    </row>
    <row r="9" customFormat="false" ht="15" hidden="false" customHeight="false" outlineLevel="0" collapsed="false">
      <c r="A9" s="4" t="s">
        <v>32</v>
      </c>
      <c r="B9" s="5" t="s">
        <v>33</v>
      </c>
      <c r="C9" s="6" t="s">
        <v>34</v>
      </c>
      <c r="D9" s="7" t="n">
        <v>0</v>
      </c>
      <c r="E9" s="8" t="n">
        <f aca="false">INDEX(Assumptions!$B$6:$B$11,MATCH(B9,Assumptions!$A$6:$A$11,0))</f>
        <v>1200</v>
      </c>
      <c r="F9" s="9" t="n">
        <f aca="false">INDEX(Assumptions!$C$6:$C$11,MATCH(B9,Assumptions!$A$6:$A$11,0))</f>
        <v>18</v>
      </c>
      <c r="G9" s="10" t="str">
        <f aca="false">IF(AND(ISNUMBER(C9),C9&gt;0,D9&gt;0),C9*E9/D9,"—")</f>
        <v>—</v>
      </c>
      <c r="H9" s="5" t="s">
        <v>21</v>
      </c>
      <c r="I9" s="9" t="n">
        <f aca="false">IF(H9="כן",F9,IF(ISNUMBER(G9),MAX(0,MIN(F9,G9*(1-Assumptions!$B$3))),0))</f>
        <v>18</v>
      </c>
      <c r="J9" s="11" t="str">
        <f aca="false">IF(ISNUMBER(G9),(G9-I9)/G9,"—")</f>
        <v>—</v>
      </c>
      <c r="K9" s="12" t="s">
        <v>22</v>
      </c>
      <c r="L9" s="13" t="str">
        <f aca="false">IF(AND(ISNUMBER(J9),ISNUMBER(K9)),IF(J9&gt;=K9,"✓","✗"),"—")</f>
        <v>—</v>
      </c>
      <c r="M9" s="13" t="str">
        <f aca="false">IF(D9&gt;0,INT(D9/E9),"ללא הגבלה")</f>
        <v>ללא הגבלה</v>
      </c>
      <c r="N9" s="13" t="s">
        <v>35</v>
      </c>
      <c r="O9" s="14" t="n">
        <v>0.0345675</v>
      </c>
      <c r="P9" s="15" t="s">
        <v>34</v>
      </c>
      <c r="Q9" s="5" t="n">
        <v>6</v>
      </c>
    </row>
    <row r="11" customFormat="false" ht="15" hidden="false" customHeight="false" outlineLevel="0" collapsed="false">
      <c r="A11" s="16" t="s">
        <v>36</v>
      </c>
    </row>
    <row r="12" customFormat="false" ht="15" hidden="false" customHeight="false" outlineLevel="0" collapsed="false">
      <c r="A12" s="2" t="s">
        <v>37</v>
      </c>
    </row>
    <row r="13" customFormat="false" ht="15" hidden="false" customHeight="false" outlineLevel="0" collapsed="false">
      <c r="A13" s="2" t="s">
        <v>38</v>
      </c>
    </row>
    <row r="14" customFormat="false" ht="15" hidden="false" customHeight="false" outlineLevel="0" collapsed="false">
      <c r="A14" s="2" t="s">
        <v>39</v>
      </c>
    </row>
    <row r="15" customFormat="false" ht="15" hidden="false" customHeight="false" outlineLevel="0" collapsed="false">
      <c r="A15" s="2" t="s">
        <v>40</v>
      </c>
    </row>
    <row r="16" customFormat="false" ht="15" hidden="false" customHeight="false" outlineLevel="0" collapsed="false">
      <c r="A16" s="2" t="s">
        <v>41</v>
      </c>
    </row>
    <row r="17" customFormat="false" ht="15" hidden="false" customHeight="false" outlineLevel="0" collapsed="false">
      <c r="A17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32"/>
  </cols>
  <sheetData>
    <row r="1" customFormat="false" ht="15" hidden="false" customHeight="false" outlineLevel="0" collapsed="false">
      <c r="A1" s="1" t="s">
        <v>43</v>
      </c>
    </row>
    <row r="3" customFormat="false" ht="15" hidden="false" customHeight="false" outlineLevel="0" collapsed="false">
      <c r="A3" s="16" t="s">
        <v>44</v>
      </c>
      <c r="B3" s="17" t="n">
        <v>0.6</v>
      </c>
      <c r="C3" s="2" t="s">
        <v>45</v>
      </c>
    </row>
    <row r="5" customFormat="false" ht="26.85" hidden="false" customHeight="false" outlineLevel="0" collapsed="false">
      <c r="A5" s="18" t="s">
        <v>3</v>
      </c>
      <c r="B5" s="18" t="s">
        <v>6</v>
      </c>
      <c r="C5" s="18" t="s">
        <v>46</v>
      </c>
      <c r="D5" s="18" t="s">
        <v>47</v>
      </c>
      <c r="E5" s="18" t="s">
        <v>48</v>
      </c>
    </row>
    <row r="6" customFormat="false" ht="15" hidden="false" customHeight="false" outlineLevel="0" collapsed="false">
      <c r="A6" s="4" t="s">
        <v>49</v>
      </c>
      <c r="B6" s="7" t="n">
        <v>20</v>
      </c>
      <c r="C6" s="15" t="n">
        <v>0.05</v>
      </c>
      <c r="D6" s="15" t="n">
        <v>0</v>
      </c>
      <c r="E6" s="13" t="s">
        <v>50</v>
      </c>
    </row>
    <row r="7" customFormat="false" ht="15" hidden="false" customHeight="false" outlineLevel="0" collapsed="false">
      <c r="A7" s="4" t="s">
        <v>20</v>
      </c>
      <c r="B7" s="7" t="n">
        <v>45</v>
      </c>
      <c r="C7" s="15" t="n">
        <v>0.35</v>
      </c>
      <c r="D7" s="15" t="n">
        <v>1.5</v>
      </c>
      <c r="E7" s="13" t="s">
        <v>51</v>
      </c>
    </row>
    <row r="8" customFormat="false" ht="15" hidden="false" customHeight="false" outlineLevel="0" collapsed="false">
      <c r="A8" s="4" t="s">
        <v>27</v>
      </c>
      <c r="B8" s="7" t="n">
        <v>200</v>
      </c>
      <c r="C8" s="15" t="n">
        <v>1.6</v>
      </c>
      <c r="D8" s="15" t="n">
        <v>5</v>
      </c>
      <c r="E8" s="13" t="s">
        <v>52</v>
      </c>
    </row>
    <row r="9" customFormat="false" ht="15" hidden="false" customHeight="false" outlineLevel="0" collapsed="false">
      <c r="A9" s="4" t="s">
        <v>53</v>
      </c>
      <c r="B9" s="7" t="n">
        <v>300</v>
      </c>
      <c r="C9" s="15" t="n">
        <v>3</v>
      </c>
      <c r="D9" s="15" t="n">
        <v>8</v>
      </c>
      <c r="E9" s="13" t="s">
        <v>54</v>
      </c>
    </row>
    <row r="10" customFormat="false" ht="15" hidden="false" customHeight="false" outlineLevel="0" collapsed="false">
      <c r="A10" s="4" t="s">
        <v>30</v>
      </c>
      <c r="B10" s="7" t="n">
        <v>500</v>
      </c>
      <c r="C10" s="15" t="n">
        <v>5.5</v>
      </c>
      <c r="D10" s="19" t="s">
        <v>55</v>
      </c>
      <c r="E10" s="13" t="s">
        <v>56</v>
      </c>
    </row>
    <row r="11" customFormat="false" ht="15" hidden="false" customHeight="false" outlineLevel="0" collapsed="false">
      <c r="A11" s="4" t="s">
        <v>33</v>
      </c>
      <c r="B11" s="7" t="n">
        <v>1200</v>
      </c>
      <c r="C11" s="15" t="n">
        <v>18</v>
      </c>
      <c r="D11" s="19" t="s">
        <v>55</v>
      </c>
      <c r="E11" s="13" t="s">
        <v>57</v>
      </c>
    </row>
    <row r="13" customFormat="false" ht="15" hidden="false" customHeight="false" outlineLevel="0" collapsed="false">
      <c r="A13" s="2" t="s">
        <v>42</v>
      </c>
    </row>
    <row r="14" customFormat="false" ht="15" hidden="false" customHeight="false" outlineLevel="0" collapsed="false">
      <c r="A14" s="2" t="s">
        <v>58</v>
      </c>
    </row>
    <row r="15" customFormat="false" ht="15" hidden="false" customHeight="false" outlineLevel="0" collapsed="false">
      <c r="A15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5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20" t="s">
        <v>60</v>
      </c>
      <c r="B1" s="20" t="s">
        <v>61</v>
      </c>
      <c r="C1" s="20" t="s">
        <v>62</v>
      </c>
      <c r="D1" s="20" t="s">
        <v>63</v>
      </c>
      <c r="E1" s="20" t="s">
        <v>64</v>
      </c>
    </row>
    <row r="2" customFormat="false" ht="26.85" hidden="false" customHeight="false" outlineLevel="0" collapsed="false">
      <c r="A2" s="21" t="n">
        <v>1</v>
      </c>
      <c r="B2" s="21" t="s">
        <v>65</v>
      </c>
      <c r="C2" s="21" t="s">
        <v>66</v>
      </c>
      <c r="D2" s="21" t="s">
        <v>22</v>
      </c>
      <c r="E2" s="21" t="s">
        <v>22</v>
      </c>
    </row>
    <row r="3" customFormat="false" ht="26.85" hidden="false" customHeight="false" outlineLevel="0" collapsed="false">
      <c r="A3" s="21" t="n">
        <v>2</v>
      </c>
      <c r="B3" s="21" t="s">
        <v>67</v>
      </c>
      <c r="C3" s="21" t="s">
        <v>68</v>
      </c>
      <c r="D3" s="21" t="s">
        <v>69</v>
      </c>
      <c r="E3" s="21" t="s">
        <v>22</v>
      </c>
    </row>
    <row r="4" customFormat="false" ht="26.85" hidden="false" customHeight="false" outlineLevel="0" collapsed="false">
      <c r="A4" s="21" t="n">
        <v>3</v>
      </c>
      <c r="B4" s="21" t="s">
        <v>70</v>
      </c>
      <c r="C4" s="21" t="s">
        <v>71</v>
      </c>
      <c r="D4" s="21" t="s">
        <v>22</v>
      </c>
      <c r="E4" s="21" t="s">
        <v>22</v>
      </c>
    </row>
    <row r="5" customFormat="false" ht="15" hidden="false" customHeight="false" outlineLevel="0" collapsed="false">
      <c r="A5" s="21" t="n">
        <v>4</v>
      </c>
      <c r="B5" s="21" t="s">
        <v>72</v>
      </c>
      <c r="C5" s="21" t="s">
        <v>73</v>
      </c>
      <c r="D5" s="21" t="s">
        <v>74</v>
      </c>
      <c r="E5" s="21" t="s">
        <v>22</v>
      </c>
    </row>
    <row r="6" customFormat="false" ht="39.55" hidden="false" customHeight="false" outlineLevel="0" collapsed="false">
      <c r="A6" s="21" t="n">
        <v>5</v>
      </c>
      <c r="B6" s="21" t="s">
        <v>75</v>
      </c>
      <c r="C6" s="21" t="s">
        <v>76</v>
      </c>
      <c r="D6" s="21" t="s">
        <v>77</v>
      </c>
      <c r="E6" s="21" t="s">
        <v>78</v>
      </c>
    </row>
    <row r="7" customFormat="false" ht="26.85" hidden="false" customHeight="false" outlineLevel="0" collapsed="false">
      <c r="A7" s="21" t="n">
        <v>6</v>
      </c>
      <c r="B7" s="21" t="s">
        <v>79</v>
      </c>
      <c r="C7" s="21" t="s">
        <v>80</v>
      </c>
      <c r="D7" s="21" t="s">
        <v>81</v>
      </c>
      <c r="E7" s="21" t="s">
        <v>82</v>
      </c>
    </row>
    <row r="8" customFormat="false" ht="26.85" hidden="false" customHeight="false" outlineLevel="0" collapsed="false">
      <c r="A8" s="21" t="n">
        <v>7</v>
      </c>
      <c r="B8" s="21" t="s">
        <v>83</v>
      </c>
      <c r="C8" s="21" t="s">
        <v>84</v>
      </c>
      <c r="D8" s="21" t="s">
        <v>85</v>
      </c>
      <c r="E8" s="21" t="s">
        <v>78</v>
      </c>
    </row>
    <row r="9" customFormat="false" ht="64.9" hidden="false" customHeight="false" outlineLevel="0" collapsed="false">
      <c r="A9" s="21" t="n">
        <v>9</v>
      </c>
      <c r="B9" s="21" t="s">
        <v>86</v>
      </c>
      <c r="C9" s="21" t="s">
        <v>87</v>
      </c>
      <c r="D9" s="21" t="s">
        <v>88</v>
      </c>
      <c r="E9" s="21" t="s">
        <v>78</v>
      </c>
    </row>
    <row r="10" customFormat="false" ht="26.85" hidden="false" customHeight="false" outlineLevel="0" collapsed="false">
      <c r="A10" s="21" t="n">
        <v>8</v>
      </c>
      <c r="B10" s="21" t="s">
        <v>89</v>
      </c>
      <c r="C10" s="21" t="s">
        <v>90</v>
      </c>
      <c r="D10" s="21" t="s">
        <v>91</v>
      </c>
      <c r="E10" s="2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2026-10-19T06:02:27Z</dcterms:created>
  <dc:creator>openpyxl</dc:creator>
  <dc:description/>
  <dc:language>en-US</dc:language>
  <cp:lastModifiedBy/>
  <dcterms:modified xsi:type="dcterms:W3CDTF">2026-10-19T06:02:27Z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